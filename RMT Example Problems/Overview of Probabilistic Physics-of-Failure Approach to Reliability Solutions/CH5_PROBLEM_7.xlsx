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ithrc\Documents\Projects\Book Updates\"/>
    </mc:Choice>
  </mc:AlternateContent>
  <xr:revisionPtr revIDLastSave="0" documentId="8_{1772D42A-1062-4571-9925-E542555FB45D}" xr6:coauthVersionLast="36" xr6:coauthVersionMax="36" xr10:uidLastSave="{00000000-0000-0000-0000-000000000000}"/>
  <bookViews>
    <workbookView xWindow="0" yWindow="0" windowWidth="24000" windowHeight="10800" xr2:uid="{03E494F8-16CF-480E-8520-656BECD837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31" i="1" l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D32" i="1"/>
  <c r="L32" i="1"/>
  <c r="Y16" i="1"/>
  <c r="E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7" i="1"/>
  <c r="D18" i="1"/>
  <c r="D19" i="1"/>
  <c r="D20" i="1"/>
  <c r="D16" i="1"/>
  <c r="A32" i="1"/>
  <c r="E22" i="1"/>
  <c r="D24" i="1" l="1"/>
  <c r="F22" i="1"/>
  <c r="D25" i="1"/>
  <c r="E24" i="1"/>
  <c r="E25" i="1"/>
  <c r="G22" i="1"/>
  <c r="D27" i="1" l="1"/>
  <c r="E27" i="1"/>
  <c r="E28" i="1"/>
  <c r="D28" i="1"/>
  <c r="F24" i="1"/>
  <c r="F25" i="1"/>
  <c r="H22" i="1"/>
  <c r="G24" i="1" l="1"/>
  <c r="G25" i="1"/>
  <c r="F27" i="1"/>
  <c r="F28" i="1"/>
  <c r="I22" i="1"/>
  <c r="E32" i="1"/>
  <c r="F32" i="1" l="1"/>
  <c r="J22" i="1"/>
  <c r="H25" i="1"/>
  <c r="H24" i="1"/>
  <c r="G28" i="1"/>
  <c r="G27" i="1"/>
  <c r="G32" i="1" s="1"/>
  <c r="H28" i="1" l="1"/>
  <c r="H27" i="1"/>
  <c r="K22" i="1"/>
  <c r="I25" i="1"/>
  <c r="I24" i="1"/>
  <c r="H32" i="1" l="1"/>
  <c r="L22" i="1"/>
  <c r="I27" i="1"/>
  <c r="I28" i="1"/>
  <c r="J24" i="1"/>
  <c r="J25" i="1"/>
  <c r="I32" i="1" l="1"/>
  <c r="M22" i="1"/>
  <c r="K24" i="1"/>
  <c r="K25" i="1"/>
  <c r="J27" i="1"/>
  <c r="J28" i="1"/>
  <c r="L25" i="1" l="1"/>
  <c r="L24" i="1"/>
  <c r="J32" i="1"/>
  <c r="N22" i="1"/>
  <c r="K27" i="1"/>
  <c r="K28" i="1"/>
  <c r="O22" i="1" l="1"/>
  <c r="M24" i="1"/>
  <c r="M25" i="1"/>
  <c r="K32" i="1"/>
  <c r="L27" i="1"/>
  <c r="L28" i="1"/>
  <c r="P22" i="1" l="1"/>
  <c r="M27" i="1"/>
  <c r="M28" i="1"/>
  <c r="N24" i="1"/>
  <c r="N25" i="1"/>
  <c r="Q22" i="1" l="1"/>
  <c r="M32" i="1"/>
  <c r="O24" i="1"/>
  <c r="O25" i="1"/>
  <c r="N27" i="1"/>
  <c r="N28" i="1"/>
  <c r="R22" i="1" l="1"/>
  <c r="O28" i="1"/>
  <c r="O27" i="1"/>
  <c r="P24" i="1"/>
  <c r="P25" i="1"/>
  <c r="N32" i="1"/>
  <c r="Q25" i="1" l="1"/>
  <c r="Q24" i="1"/>
  <c r="S22" i="1"/>
  <c r="O32" i="1"/>
  <c r="P28" i="1"/>
  <c r="P27" i="1"/>
  <c r="P32" i="1" l="1"/>
  <c r="T22" i="1"/>
  <c r="R25" i="1"/>
  <c r="R24" i="1"/>
  <c r="Q27" i="1"/>
  <c r="Q28" i="1"/>
  <c r="R27" i="1" l="1"/>
  <c r="R28" i="1"/>
  <c r="S25" i="1"/>
  <c r="S24" i="1"/>
  <c r="U22" i="1"/>
  <c r="Q32" i="1"/>
  <c r="S27" i="1" l="1"/>
  <c r="S28" i="1"/>
  <c r="V22" i="1"/>
  <c r="T25" i="1"/>
  <c r="T24" i="1"/>
  <c r="R32" i="1"/>
  <c r="U24" i="1" l="1"/>
  <c r="U25" i="1"/>
  <c r="W22" i="1"/>
  <c r="T27" i="1"/>
  <c r="T28" i="1"/>
  <c r="S32" i="1"/>
  <c r="X22" i="1" l="1"/>
  <c r="V24" i="1"/>
  <c r="V25" i="1"/>
  <c r="T32" i="1"/>
  <c r="U27" i="1"/>
  <c r="U28" i="1"/>
  <c r="W24" i="1" l="1"/>
  <c r="W25" i="1"/>
  <c r="V27" i="1"/>
  <c r="V28" i="1"/>
  <c r="U32" i="1"/>
  <c r="Y22" i="1"/>
  <c r="V32" i="1" l="1"/>
  <c r="X25" i="1"/>
  <c r="X24" i="1"/>
  <c r="W28" i="1"/>
  <c r="W27" i="1"/>
  <c r="X28" i="1" l="1"/>
  <c r="X27" i="1"/>
  <c r="X32" i="1" s="1"/>
  <c r="Y25" i="1"/>
  <c r="Y24" i="1"/>
  <c r="W32" i="1"/>
  <c r="Y27" i="1" l="1"/>
  <c r="Y28" i="1"/>
  <c r="Y32" i="1" l="1"/>
</calcChain>
</file>

<file path=xl/sharedStrings.xml><?xml version="1.0" encoding="utf-8"?>
<sst xmlns="http://schemas.openxmlformats.org/spreadsheetml/2006/main" count="14" uniqueCount="14">
  <si>
    <t>a</t>
  </si>
  <si>
    <t>b</t>
  </si>
  <si>
    <t>Damage (Resistance</t>
  </si>
  <si>
    <t>Switch A</t>
  </si>
  <si>
    <t>Switch B</t>
  </si>
  <si>
    <t>Switch C</t>
  </si>
  <si>
    <t>Switch D</t>
  </si>
  <si>
    <t>Switch E</t>
  </si>
  <si>
    <t>time (hrs)</t>
  </si>
  <si>
    <t>mu</t>
  </si>
  <si>
    <t>sig</t>
  </si>
  <si>
    <t>mu_t</t>
  </si>
  <si>
    <t>sig_T</t>
  </si>
  <si>
    <t>G(t|a,b) D=495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</si>
</sst>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Garamond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772B6-60B4-4879-95BD-E63AA62C0A4F}">
  <dimension ref="A15:Y32"/>
  <sheetViews>
    <sheetView tabSelected="1" topLeftCell="D7" workbookViewId="0">
      <selection activeCell="J8" sqref="J8"/>
    </sheetView>
  </sheetViews>
  <sheetFormatPr defaultRowHeight="15" x14ac:dyDescent="0.25"/>
  <cols>
    <col min="1" max="3" width="9.140625" style="1"/>
    <col min="4" max="4" width="12.85546875" style="1" bestFit="1" customWidth="1"/>
    <col min="5" max="16384" width="9.140625" style="1"/>
  </cols>
  <sheetData>
    <row r="15" spans="1:25" x14ac:dyDescent="0.25">
      <c r="B15" s="1" t="s">
        <v>0</v>
      </c>
      <c r="C15" s="1" t="s">
        <v>1</v>
      </c>
      <c r="D15" s="1" t="s">
        <v>2</v>
      </c>
    </row>
    <row r="16" spans="1:25" x14ac:dyDescent="0.25">
      <c r="A16" s="1" t="s">
        <v>3</v>
      </c>
      <c r="B16" s="1">
        <v>118.27290000000001</v>
      </c>
      <c r="C16" s="1">
        <v>43.866669999999999</v>
      </c>
      <c r="D16" s="1">
        <f>$C$16 + $B$16*SQRT(D22)</f>
        <v>880.18236620598429</v>
      </c>
      <c r="E16" s="1">
        <f t="shared" ref="E16:Y16" si="0">$C$16 + $B$16*SQRT(E22)</f>
        <v>921.00197204441668</v>
      </c>
      <c r="F16" s="1">
        <f t="shared" si="0"/>
        <v>960.00461401531049</v>
      </c>
      <c r="G16" s="1">
        <f t="shared" si="0"/>
        <v>997.41327443873956</v>
      </c>
      <c r="H16" s="1">
        <f t="shared" si="0"/>
        <v>1033.4087465226207</v>
      </c>
      <c r="I16" s="1">
        <f t="shared" si="0"/>
        <v>1068.1400297925657</v>
      </c>
      <c r="J16" s="1">
        <f t="shared" si="0"/>
        <v>1101.7316471841395</v>
      </c>
      <c r="K16" s="1">
        <f t="shared" si="0"/>
        <v>1134.2889296429562</v>
      </c>
      <c r="L16" s="1">
        <f t="shared" si="0"/>
        <v>1165.901918419986</v>
      </c>
      <c r="M16" s="1">
        <f t="shared" si="0"/>
        <v>1196.648302864156</v>
      </c>
      <c r="N16" s="1">
        <f t="shared" si="0"/>
        <v>1226.5956700000002</v>
      </c>
      <c r="O16" s="1">
        <f t="shared" si="0"/>
        <v>1255.803253247263</v>
      </c>
      <c r="P16" s="1">
        <f t="shared" si="0"/>
        <v>1284.3233101874353</v>
      </c>
      <c r="Q16" s="1">
        <f t="shared" si="0"/>
        <v>1312.202221247047</v>
      </c>
      <c r="R16" s="1">
        <f t="shared" si="0"/>
        <v>1339.4813754310553</v>
      </c>
      <c r="S16" s="1">
        <f t="shared" si="0"/>
        <v>1366.1978914801743</v>
      </c>
      <c r="T16" s="1">
        <f t="shared" si="0"/>
        <v>1392.3852103520785</v>
      </c>
      <c r="U16" s="1">
        <f t="shared" si="0"/>
        <v>1418.0735860229656</v>
      </c>
      <c r="V16" s="1">
        <f t="shared" si="0"/>
        <v>1443.2904951571254</v>
      </c>
      <c r="W16" s="1">
        <f t="shared" si="0"/>
        <v>1468.0609814580434</v>
      </c>
      <c r="X16" s="1">
        <f t="shared" si="0"/>
        <v>1492.407946996103</v>
      </c>
      <c r="Y16" s="1">
        <f>$C$16 + $B$16*SQRT(Y22)</f>
        <v>1516.3524001629617</v>
      </c>
    </row>
    <row r="17" spans="1:25" x14ac:dyDescent="0.25">
      <c r="A17" s="1" t="s">
        <v>4</v>
      </c>
      <c r="B17" s="1">
        <v>113.4875</v>
      </c>
      <c r="C17" s="1">
        <v>46.921520000000001</v>
      </c>
      <c r="D17" s="1">
        <f>$C$17 + $B$17*SQRT(D22)</f>
        <v>849.39932829908309</v>
      </c>
      <c r="E17" s="1">
        <f t="shared" ref="E17:Y17" si="1">$C$17 + $B$17*SQRT(E22)</f>
        <v>888.56734580426905</v>
      </c>
      <c r="F17" s="1">
        <f t="shared" si="1"/>
        <v>925.9919150054285</v>
      </c>
      <c r="G17" s="1">
        <f t="shared" si="1"/>
        <v>961.88699621003161</v>
      </c>
      <c r="H17" s="1">
        <f t="shared" si="1"/>
        <v>996.42606761285901</v>
      </c>
      <c r="I17" s="1">
        <f t="shared" si="1"/>
        <v>1029.752100119865</v>
      </c>
      <c r="J17" s="1">
        <f t="shared" si="1"/>
        <v>1061.9845783860296</v>
      </c>
      <c r="K17" s="1">
        <f t="shared" si="1"/>
        <v>1093.2245715970266</v>
      </c>
      <c r="L17" s="1">
        <f t="shared" si="1"/>
        <v>1123.558477875077</v>
      </c>
      <c r="M17" s="1">
        <f t="shared" si="1"/>
        <v>1153.0608432065073</v>
      </c>
      <c r="N17" s="1">
        <f t="shared" si="1"/>
        <v>1181.7965200000001</v>
      </c>
      <c r="O17" s="1">
        <f t="shared" si="1"/>
        <v>1209.8223450518399</v>
      </c>
      <c r="P17" s="1">
        <f t="shared" si="1"/>
        <v>1237.1884615671008</v>
      </c>
      <c r="Q17" s="1">
        <f t="shared" si="1"/>
        <v>1263.9393733894849</v>
      </c>
      <c r="R17" s="1">
        <f t="shared" si="1"/>
        <v>1290.114794897351</v>
      </c>
      <c r="S17" s="1">
        <f t="shared" si="1"/>
        <v>1315.7503429825369</v>
      </c>
      <c r="T17" s="1">
        <f t="shared" si="1"/>
        <v>1340.8781055593843</v>
      </c>
      <c r="U17" s="1">
        <f t="shared" si="1"/>
        <v>1365.5271125081426</v>
      </c>
      <c r="V17" s="1">
        <f t="shared" si="1"/>
        <v>1389.7237287690355</v>
      </c>
      <c r="W17" s="1">
        <f t="shared" si="1"/>
        <v>1413.4919847606907</v>
      </c>
      <c r="X17" s="1">
        <f t="shared" si="1"/>
        <v>1436.8538559205297</v>
      </c>
      <c r="Y17" s="1">
        <f t="shared" si="1"/>
        <v>1459.8295006267463</v>
      </c>
    </row>
    <row r="18" spans="1:25" x14ac:dyDescent="0.25">
      <c r="A18" s="1" t="s">
        <v>5</v>
      </c>
      <c r="B18" s="1">
        <v>175.3484</v>
      </c>
      <c r="C18" s="1">
        <v>33.919919999999998</v>
      </c>
      <c r="D18" s="1">
        <f>$C$18 + $B$18*SQRT(D22)</f>
        <v>1273.8203471021122</v>
      </c>
      <c r="E18" s="1">
        <f t="shared" ref="E18:Y18" si="2">$C$18 + $B$18*SQRT(E22)</f>
        <v>1334.3384587946452</v>
      </c>
      <c r="F18" s="1">
        <f t="shared" si="2"/>
        <v>1392.1627859682333</v>
      </c>
      <c r="G18" s="1">
        <f t="shared" si="2"/>
        <v>1447.6239165517534</v>
      </c>
      <c r="H18" s="1">
        <f t="shared" si="2"/>
        <v>1500.989889967077</v>
      </c>
      <c r="I18" s="1">
        <f t="shared" si="2"/>
        <v>1552.4816091295527</v>
      </c>
      <c r="J18" s="1">
        <f t="shared" si="2"/>
        <v>1602.2836885832967</v>
      </c>
      <c r="K18" s="1">
        <f t="shared" si="2"/>
        <v>1650.552289315176</v>
      </c>
      <c r="L18" s="1">
        <f t="shared" si="2"/>
        <v>1697.4209041988072</v>
      </c>
      <c r="M18" s="1">
        <f t="shared" si="2"/>
        <v>1743.0047134913</v>
      </c>
      <c r="N18" s="1">
        <f t="shared" si="2"/>
        <v>1787.40392</v>
      </c>
      <c r="O18" s="1">
        <f t="shared" si="2"/>
        <v>1830.70634168979</v>
      </c>
      <c r="P18" s="1">
        <f t="shared" si="2"/>
        <v>1872.9894543247901</v>
      </c>
      <c r="Q18" s="1">
        <f t="shared" si="2"/>
        <v>1914.322020348327</v>
      </c>
      <c r="R18" s="1">
        <f t="shared" si="2"/>
        <v>1954.7654020487773</v>
      </c>
      <c r="S18" s="1">
        <f t="shared" si="2"/>
        <v>1994.3746307291208</v>
      </c>
      <c r="T18" s="1">
        <f t="shared" si="2"/>
        <v>2033.1992851045368</v>
      </c>
      <c r="U18" s="1">
        <f t="shared" si="2"/>
        <v>2071.2842189523499</v>
      </c>
      <c r="V18" s="1">
        <f t="shared" si="2"/>
        <v>2108.6701684777295</v>
      </c>
      <c r="W18" s="1">
        <f t="shared" si="2"/>
        <v>2145.3942628399027</v>
      </c>
      <c r="X18" s="1">
        <f t="shared" si="2"/>
        <v>2181.4904560672089</v>
      </c>
      <c r="Y18" s="1">
        <f t="shared" si="2"/>
        <v>2216.9898946679673</v>
      </c>
    </row>
    <row r="19" spans="1:25" x14ac:dyDescent="0.25">
      <c r="A19" s="1" t="s">
        <v>6</v>
      </c>
      <c r="B19" s="1">
        <v>119.3687</v>
      </c>
      <c r="C19" s="1">
        <v>42.511180000000003</v>
      </c>
      <c r="D19" s="1">
        <f>$C$19 + $B$19*SQRT(D22)</f>
        <v>886.57535231422639</v>
      </c>
      <c r="E19" s="1">
        <f t="shared" ref="E19:Y19" si="3">$C$19 + $B$19*SQRT(E22)</f>
        <v>927.77315234657601</v>
      </c>
      <c r="F19" s="1">
        <f t="shared" si="3"/>
        <v>967.13715431685864</v>
      </c>
      <c r="G19" s="1">
        <f t="shared" si="3"/>
        <v>1004.892406479325</v>
      </c>
      <c r="H19" s="1">
        <f t="shared" si="3"/>
        <v>1041.2213770933811</v>
      </c>
      <c r="I19" s="1">
        <f t="shared" si="3"/>
        <v>1076.2744461672353</v>
      </c>
      <c r="J19" s="1">
        <f t="shared" si="3"/>
        <v>1110.1772903431167</v>
      </c>
      <c r="K19" s="1">
        <f t="shared" si="3"/>
        <v>1143.0362164592575</v>
      </c>
      <c r="L19" s="1">
        <f t="shared" si="3"/>
        <v>1174.9421000000236</v>
      </c>
      <c r="M19" s="1">
        <f t="shared" si="3"/>
        <v>1205.9733501071976</v>
      </c>
      <c r="N19" s="1">
        <f t="shared" si="3"/>
        <v>1236.1981800000001</v>
      </c>
      <c r="O19" s="1">
        <f t="shared" si="3"/>
        <v>1265.6763718966015</v>
      </c>
      <c r="P19" s="1">
        <f t="shared" si="3"/>
        <v>1294.4606675456837</v>
      </c>
      <c r="Q19" s="1">
        <f t="shared" si="3"/>
        <v>1322.5978770890488</v>
      </c>
      <c r="R19" s="1">
        <f t="shared" si="3"/>
        <v>1350.1297730013384</v>
      </c>
      <c r="S19" s="1">
        <f t="shared" si="3"/>
        <v>1377.0938179288958</v>
      </c>
      <c r="T19" s="1">
        <f t="shared" si="3"/>
        <v>1403.5237626603146</v>
      </c>
      <c r="U19" s="1">
        <f t="shared" si="3"/>
        <v>1429.4501414752879</v>
      </c>
      <c r="V19" s="1">
        <f t="shared" si="3"/>
        <v>1454.9006856097662</v>
      </c>
      <c r="W19" s="1">
        <f t="shared" si="3"/>
        <v>1479.9006707974838</v>
      </c>
      <c r="X19" s="1">
        <f t="shared" si="3"/>
        <v>1504.4732112968118</v>
      </c>
      <c r="Y19" s="1">
        <f t="shared" si="3"/>
        <v>1528.6395101424375</v>
      </c>
    </row>
    <row r="20" spans="1:25" x14ac:dyDescent="0.25">
      <c r="A20" s="1" t="s">
        <v>7</v>
      </c>
      <c r="B20" s="1">
        <v>186.19300000000001</v>
      </c>
      <c r="C20" s="1">
        <v>34.583640000000003</v>
      </c>
      <c r="D20" s="1">
        <f>$C$20 + $B$20*SQRT(D22)</f>
        <v>1351.1669690946687</v>
      </c>
      <c r="E20" s="1">
        <f>$C$20 + $B$20*SQRT(E22)</f>
        <v>1415.427884907803</v>
      </c>
      <c r="F20" s="1">
        <f t="shared" ref="E20:Y20" si="4">$C$20 + $B$20*SQRT(F22)</f>
        <v>1476.8284163607952</v>
      </c>
      <c r="G20" s="1">
        <f t="shared" si="4"/>
        <v>1535.7195969289519</v>
      </c>
      <c r="H20" s="1">
        <f t="shared" si="4"/>
        <v>1592.3860432045915</v>
      </c>
      <c r="I20" s="1">
        <f t="shared" si="4"/>
        <v>1647.0623200683601</v>
      </c>
      <c r="J20" s="1">
        <f t="shared" si="4"/>
        <v>1699.9444597384736</v>
      </c>
      <c r="K20" s="1">
        <f t="shared" si="4"/>
        <v>1751.1982811367347</v>
      </c>
      <c r="L20" s="1">
        <f t="shared" si="4"/>
        <v>1800.9655331391934</v>
      </c>
      <c r="M20" s="1">
        <f t="shared" si="4"/>
        <v>1849.3685194430154</v>
      </c>
      <c r="N20" s="1">
        <f t="shared" si="4"/>
        <v>1896.5136400000001</v>
      </c>
      <c r="O20" s="1">
        <f t="shared" si="4"/>
        <v>1942.4941439663155</v>
      </c>
      <c r="P20" s="1">
        <f t="shared" si="4"/>
        <v>1987.3922986734503</v>
      </c>
      <c r="Q20" s="1">
        <f t="shared" si="4"/>
        <v>2031.2811192479205</v>
      </c>
      <c r="R20" s="1">
        <f t="shared" si="4"/>
        <v>2074.2257629911878</v>
      </c>
      <c r="S20" s="1">
        <f t="shared" si="4"/>
        <v>2116.2846646730918</v>
      </c>
      <c r="T20" s="1">
        <f t="shared" si="4"/>
        <v>2157.510469254838</v>
      </c>
      <c r="U20" s="1">
        <f t="shared" si="4"/>
        <v>2197.9508045411926</v>
      </c>
      <c r="V20" s="1">
        <f t="shared" si="4"/>
        <v>2237.6489261093338</v>
      </c>
      <c r="W20" s="1">
        <f t="shared" si="4"/>
        <v>2276.644259409074</v>
      </c>
      <c r="X20" s="1">
        <f t="shared" si="4"/>
        <v>2314.9728583901415</v>
      </c>
      <c r="Y20" s="1">
        <f t="shared" si="4"/>
        <v>2352.667795848316</v>
      </c>
    </row>
    <row r="22" spans="1:25" x14ac:dyDescent="0.25">
      <c r="C22" s="1" t="s">
        <v>8</v>
      </c>
      <c r="D22" s="1">
        <v>50</v>
      </c>
      <c r="E22" s="1">
        <f>D22+5</f>
        <v>55</v>
      </c>
      <c r="F22" s="1">
        <f t="shared" ref="F22:Y22" si="5">E22+5</f>
        <v>60</v>
      </c>
      <c r="G22" s="1">
        <f t="shared" si="5"/>
        <v>65</v>
      </c>
      <c r="H22" s="1">
        <f t="shared" si="5"/>
        <v>70</v>
      </c>
      <c r="I22" s="1">
        <f t="shared" si="5"/>
        <v>75</v>
      </c>
      <c r="J22" s="1">
        <f t="shared" si="5"/>
        <v>80</v>
      </c>
      <c r="K22" s="1">
        <f t="shared" si="5"/>
        <v>85</v>
      </c>
      <c r="L22" s="1">
        <f t="shared" si="5"/>
        <v>90</v>
      </c>
      <c r="M22" s="1">
        <f t="shared" si="5"/>
        <v>95</v>
      </c>
      <c r="N22" s="1">
        <f t="shared" si="5"/>
        <v>100</v>
      </c>
      <c r="O22" s="1">
        <f t="shared" si="5"/>
        <v>105</v>
      </c>
      <c r="P22" s="1">
        <f t="shared" si="5"/>
        <v>110</v>
      </c>
      <c r="Q22" s="1">
        <f t="shared" si="5"/>
        <v>115</v>
      </c>
      <c r="R22" s="1">
        <f t="shared" si="5"/>
        <v>120</v>
      </c>
      <c r="S22" s="1">
        <f t="shared" si="5"/>
        <v>125</v>
      </c>
      <c r="T22" s="1">
        <f t="shared" si="5"/>
        <v>130</v>
      </c>
      <c r="U22" s="1">
        <f t="shared" si="5"/>
        <v>135</v>
      </c>
      <c r="V22" s="1">
        <f t="shared" si="5"/>
        <v>140</v>
      </c>
      <c r="W22" s="1">
        <f t="shared" si="5"/>
        <v>145</v>
      </c>
      <c r="X22" s="1">
        <f t="shared" si="5"/>
        <v>150</v>
      </c>
      <c r="Y22" s="1">
        <f t="shared" si="5"/>
        <v>155</v>
      </c>
    </row>
    <row r="24" spans="1:25" x14ac:dyDescent="0.25">
      <c r="C24" s="1" t="s">
        <v>9</v>
      </c>
      <c r="D24" s="1">
        <f>AVERAGE(D16:D20)</f>
        <v>1048.2288726032152</v>
      </c>
      <c r="E24" s="1">
        <f t="shared" ref="E24:Y24" si="6">AVERAGE(E16:E20)</f>
        <v>1097.421762779542</v>
      </c>
      <c r="F24" s="1">
        <f t="shared" si="6"/>
        <v>1144.4249771333252</v>
      </c>
      <c r="G24" s="1">
        <f t="shared" si="6"/>
        <v>1189.5072381217603</v>
      </c>
      <c r="H24" s="1">
        <f t="shared" si="6"/>
        <v>1232.886424880106</v>
      </c>
      <c r="I24" s="1">
        <f t="shared" si="6"/>
        <v>1274.7421010555158</v>
      </c>
      <c r="J24" s="1">
        <f t="shared" si="6"/>
        <v>1315.2243328470113</v>
      </c>
      <c r="K24" s="1">
        <f t="shared" si="6"/>
        <v>1354.4600576302303</v>
      </c>
      <c r="L24" s="1">
        <f t="shared" si="6"/>
        <v>1392.5577867266175</v>
      </c>
      <c r="M24" s="1">
        <f t="shared" si="6"/>
        <v>1429.6111458224354</v>
      </c>
      <c r="N24" s="1">
        <f t="shared" si="6"/>
        <v>1465.7015860000001</v>
      </c>
      <c r="O24" s="1">
        <f t="shared" si="6"/>
        <v>1500.9004911703619</v>
      </c>
      <c r="P24" s="1">
        <f t="shared" si="6"/>
        <v>1535.2708384596922</v>
      </c>
      <c r="Q24" s="1">
        <f t="shared" si="6"/>
        <v>1568.8685222643658</v>
      </c>
      <c r="R24" s="1">
        <f t="shared" si="6"/>
        <v>1601.7434216739421</v>
      </c>
      <c r="S24" s="1">
        <f t="shared" si="6"/>
        <v>1633.9402695587639</v>
      </c>
      <c r="T24" s="1">
        <f t="shared" si="6"/>
        <v>1665.4993665862305</v>
      </c>
      <c r="U24" s="1">
        <f t="shared" si="6"/>
        <v>1696.4571726999875</v>
      </c>
      <c r="V24" s="1">
        <f t="shared" si="6"/>
        <v>1726.8468008245982</v>
      </c>
      <c r="W24" s="1">
        <f t="shared" si="6"/>
        <v>1756.698431853039</v>
      </c>
      <c r="X24" s="1">
        <f t="shared" si="6"/>
        <v>1786.0396657341589</v>
      </c>
      <c r="Y24" s="1">
        <f t="shared" si="6"/>
        <v>1814.8958202896858</v>
      </c>
    </row>
    <row r="25" spans="1:25" x14ac:dyDescent="0.25">
      <c r="C25" s="1" t="s">
        <v>10</v>
      </c>
      <c r="D25" s="1">
        <f>_xlfn.STDEV.P(D16:D20)</f>
        <v>217.51674891592839</v>
      </c>
      <c r="E25" s="1">
        <f t="shared" ref="E25:Y25" si="7">_xlfn.STDEV.P(E16:E20)</f>
        <v>228.37783414189281</v>
      </c>
      <c r="F25" s="1">
        <f t="shared" si="7"/>
        <v>238.75548723274346</v>
      </c>
      <c r="G25" s="1">
        <f t="shared" si="7"/>
        <v>248.70903423411968</v>
      </c>
      <c r="H25" s="1">
        <f t="shared" si="7"/>
        <v>258.28657682195791</v>
      </c>
      <c r="I25" s="1">
        <f t="shared" si="7"/>
        <v>267.52775791548277</v>
      </c>
      <c r="J25" s="1">
        <f t="shared" si="7"/>
        <v>276.4657083479658</v>
      </c>
      <c r="K25" s="1">
        <f t="shared" si="7"/>
        <v>285.12845281835638</v>
      </c>
      <c r="L25" s="1">
        <f t="shared" si="7"/>
        <v>293.53994809381106</v>
      </c>
      <c r="M25" s="1">
        <f t="shared" si="7"/>
        <v>301.7208646128405</v>
      </c>
      <c r="N25" s="1">
        <f t="shared" si="7"/>
        <v>309.68918499198872</v>
      </c>
      <c r="O25" s="1">
        <f t="shared" si="7"/>
        <v>317.46066928045133</v>
      </c>
      <c r="P25" s="1">
        <f t="shared" si="7"/>
        <v>325.04922152288975</v>
      </c>
      <c r="Q25" s="1">
        <f t="shared" si="7"/>
        <v>332.46718207187342</v>
      </c>
      <c r="R25" s="1">
        <f t="shared" si="7"/>
        <v>339.72556324448288</v>
      </c>
      <c r="S25" s="1">
        <f t="shared" si="7"/>
        <v>346.83424119285127</v>
      </c>
      <c r="T25" s="1">
        <f t="shared" si="7"/>
        <v>353.80211353977188</v>
      </c>
      <c r="U25" s="1">
        <f t="shared" si="7"/>
        <v>360.63722996183481</v>
      </c>
      <c r="V25" s="1">
        <f t="shared" si="7"/>
        <v>367.34690118681709</v>
      </c>
      <c r="W25" s="1">
        <f t="shared" si="7"/>
        <v>373.93779061259369</v>
      </c>
      <c r="X25" s="1">
        <f t="shared" si="7"/>
        <v>380.41599181868582</v>
      </c>
      <c r="Y25" s="1">
        <f t="shared" si="7"/>
        <v>386.78709453791754</v>
      </c>
    </row>
    <row r="27" spans="1:25" x14ac:dyDescent="0.25">
      <c r="C27" s="1" t="s">
        <v>11</v>
      </c>
      <c r="D27" s="1">
        <f>LN((D24^2)/SQRT((D24^2)+(D25^2)))</f>
        <v>6.933777921154924</v>
      </c>
      <c r="E27" s="1">
        <f t="shared" ref="E27:Y27" si="8">LN((E24^2)/SQRT((E24^2)+(E25^2)))</f>
        <v>6.979520990399589</v>
      </c>
      <c r="F27" s="1">
        <f t="shared" si="8"/>
        <v>7.0213557062335497</v>
      </c>
      <c r="G27" s="1">
        <f t="shared" si="8"/>
        <v>7.0599002926541807</v>
      </c>
      <c r="H27" s="1">
        <f t="shared" si="8"/>
        <v>7.0956367157573252</v>
      </c>
      <c r="I27" s="1">
        <f t="shared" si="8"/>
        <v>7.1289480410327419</v>
      </c>
      <c r="J27" s="1">
        <f t="shared" si="8"/>
        <v>7.1601437966306465</v>
      </c>
      <c r="K27" s="1">
        <f t="shared" si="8"/>
        <v>7.1894776882353586</v>
      </c>
      <c r="L27" s="1">
        <f t="shared" si="8"/>
        <v>7.2171602777859807</v>
      </c>
      <c r="M27" s="1">
        <f t="shared" si="8"/>
        <v>7.2433682528670555</v>
      </c>
      <c r="N27" s="1">
        <f t="shared" si="8"/>
        <v>7.2682513314831318</v>
      </c>
      <c r="O27" s="1">
        <f t="shared" si="8"/>
        <v>7.291937491397837</v>
      </c>
      <c r="P27" s="1">
        <f t="shared" si="8"/>
        <v>7.3145369896119714</v>
      </c>
      <c r="Q27" s="1">
        <f t="shared" si="8"/>
        <v>7.336145493224417</v>
      </c>
      <c r="R27" s="1">
        <f t="shared" si="8"/>
        <v>7.3568465475760965</v>
      </c>
      <c r="S27" s="1">
        <f t="shared" si="8"/>
        <v>7.3767135432709505</v>
      </c>
      <c r="T27" s="1">
        <f t="shared" si="8"/>
        <v>7.3958112994729017</v>
      </c>
      <c r="U27" s="1">
        <f t="shared" si="8"/>
        <v>7.4141973499823184</v>
      </c>
      <c r="V27" s="1">
        <f t="shared" si="8"/>
        <v>7.4319229966588116</v>
      </c>
      <c r="W27" s="1">
        <f t="shared" si="8"/>
        <v>7.4490341789581915</v>
      </c>
      <c r="X27" s="1">
        <f t="shared" si="8"/>
        <v>7.4655721968228619</v>
      </c>
      <c r="Y27" s="1">
        <f t="shared" si="8"/>
        <v>7.4815743156503087</v>
      </c>
    </row>
    <row r="28" spans="1:25" x14ac:dyDescent="0.25">
      <c r="C28" s="1" t="s">
        <v>12</v>
      </c>
      <c r="D28" s="1">
        <f>SQRT(LN(SUM(D24^2,D25^2)/(D24^2)))</f>
        <v>0.20532564268024078</v>
      </c>
      <c r="E28" s="1">
        <f t="shared" ref="E28:Y28" si="9">SQRT(LN(SUM(E24^2,E25^2)/(E24^2)))</f>
        <v>0.20590223528401846</v>
      </c>
      <c r="F28" s="1">
        <f t="shared" si="9"/>
        <v>0.20640678395551623</v>
      </c>
      <c r="G28" s="1">
        <f t="shared" si="9"/>
        <v>0.20685319471696084</v>
      </c>
      <c r="H28" s="1">
        <f t="shared" si="9"/>
        <v>0.20725187735681991</v>
      </c>
      <c r="I28" s="1">
        <f t="shared" si="9"/>
        <v>0.20761080134595924</v>
      </c>
      <c r="J28" s="1">
        <f t="shared" si="9"/>
        <v>0.20793618613609524</v>
      </c>
      <c r="K28" s="1">
        <f t="shared" si="9"/>
        <v>0.20823296669790683</v>
      </c>
      <c r="L28" s="1">
        <f t="shared" si="9"/>
        <v>0.20850511601090352</v>
      </c>
      <c r="M28" s="1">
        <f t="shared" si="9"/>
        <v>0.20875587373783194</v>
      </c>
      <c r="N28" s="1">
        <f t="shared" si="9"/>
        <v>0.20898791173826681</v>
      </c>
      <c r="O28" s="1">
        <f t="shared" si="9"/>
        <v>0.20920345606579496</v>
      </c>
      <c r="P28" s="1">
        <f t="shared" si="9"/>
        <v>0.20940437836183284</v>
      </c>
      <c r="Q28" s="1">
        <f t="shared" si="9"/>
        <v>0.20959226532863956</v>
      </c>
      <c r="R28" s="1">
        <f t="shared" si="9"/>
        <v>0.20976847223929515</v>
      </c>
      <c r="S28" s="1">
        <f t="shared" si="9"/>
        <v>0.20993416464814965</v>
      </c>
      <c r="T28" s="1">
        <f t="shared" si="9"/>
        <v>0.2100903512600151</v>
      </c>
      <c r="U28" s="1">
        <f t="shared" si="9"/>
        <v>0.21023791009198037</v>
      </c>
      <c r="V28" s="1">
        <f t="shared" si="9"/>
        <v>0.21037760948848272</v>
      </c>
      <c r="W28" s="1">
        <f t="shared" si="9"/>
        <v>0.21051012514559184</v>
      </c>
      <c r="X28" s="1">
        <f t="shared" si="9"/>
        <v>0.21063605401074378</v>
      </c>
      <c r="Y28" s="1">
        <f t="shared" si="9"/>
        <v>0.21075592571413554</v>
      </c>
    </row>
    <row r="31" spans="1:25" x14ac:dyDescent="0.25">
      <c r="D31" s="1">
        <f>1-_xlfn.NORM.DIST(495,D24,D25,TRUE)</f>
        <v>0.9945107931685877</v>
      </c>
      <c r="E31" s="1">
        <f t="shared" ref="E31:Y31" si="10">1-_xlfn.NORM.DIST(495,E24,E25,TRUE)</f>
        <v>0.99582807256235639</v>
      </c>
      <c r="F31" s="1">
        <f t="shared" si="10"/>
        <v>0.99673631974640065</v>
      </c>
      <c r="G31" s="1">
        <f t="shared" si="10"/>
        <v>0.99738446253267543</v>
      </c>
      <c r="H31" s="1">
        <f t="shared" si="10"/>
        <v>0.99786067096981523</v>
      </c>
      <c r="I31" s="1">
        <f t="shared" si="10"/>
        <v>0.99821939806000226</v>
      </c>
      <c r="J31" s="1">
        <f t="shared" si="10"/>
        <v>0.99849552071667247</v>
      </c>
      <c r="K31" s="1">
        <f t="shared" si="10"/>
        <v>0.99871209586527843</v>
      </c>
      <c r="L31" s="1">
        <f t="shared" si="10"/>
        <v>0.998884794979641</v>
      </c>
      <c r="M31" s="1">
        <f t="shared" si="10"/>
        <v>0.99902453368681554</v>
      </c>
      <c r="N31" s="1">
        <f t="shared" si="10"/>
        <v>0.99913908216684533</v>
      </c>
      <c r="O31" s="1">
        <f t="shared" si="10"/>
        <v>0.99923408007693471</v>
      </c>
      <c r="P31" s="1">
        <f t="shared" si="10"/>
        <v>0.99931369281951876</v>
      </c>
      <c r="Q31" s="1">
        <f t="shared" si="10"/>
        <v>0.99938104581121923</v>
      </c>
      <c r="R31" s="1">
        <f t="shared" si="10"/>
        <v>0.99943851791284555</v>
      </c>
      <c r="S31" s="1">
        <f t="shared" si="10"/>
        <v>0.99948794349195902</v>
      </c>
      <c r="T31" s="1">
        <f t="shared" si="10"/>
        <v>0.99953075399491742</v>
      </c>
      <c r="U31" s="1">
        <f t="shared" si="10"/>
        <v>0.99956807871983844</v>
      </c>
      <c r="V31" s="1">
        <f t="shared" si="10"/>
        <v>0.99960081759890929</v>
      </c>
      <c r="W31" s="1">
        <f t="shared" si="10"/>
        <v>0.99962969447390726</v>
      </c>
      <c r="X31" s="1">
        <f t="shared" si="10"/>
        <v>0.99965529657913377</v>
      </c>
      <c r="Y31" s="1">
        <f t="shared" si="10"/>
        <v>0.99967810414047509</v>
      </c>
    </row>
    <row r="32" spans="1:25" x14ac:dyDescent="0.25">
      <c r="A32" s="1">
        <f>550*0.9</f>
        <v>495</v>
      </c>
      <c r="B32" s="1" t="s">
        <v>13</v>
      </c>
      <c r="D32" s="1">
        <f>1-_xlfn.LOGNORM.DIST(495,D27,D28,TRUE)</f>
        <v>0.99980850076091643</v>
      </c>
      <c r="E32" s="1">
        <f t="shared" ref="E32:Y32" si="11">1-_xlfn.LOGNORM.DIST(495,E27,E28,TRUE)</f>
        <v>0.99991630575619617</v>
      </c>
      <c r="F32" s="1">
        <f t="shared" si="11"/>
        <v>0.99996208713963586</v>
      </c>
      <c r="G32" s="1">
        <f t="shared" si="11"/>
        <v>0.99998225397551055</v>
      </c>
      <c r="H32" s="1">
        <f t="shared" si="11"/>
        <v>0.99999144071424617</v>
      </c>
      <c r="I32" s="1">
        <f t="shared" si="11"/>
        <v>0.9999957564913261</v>
      </c>
      <c r="J32" s="1">
        <f t="shared" si="11"/>
        <v>0.99999784219720611</v>
      </c>
      <c r="K32" s="1">
        <f t="shared" si="11"/>
        <v>0.99999887681627653</v>
      </c>
      <c r="L32" s="1">
        <f>1-_xlfn.LOGNORM.DIST(495,L27,L28,TRUE)</f>
        <v>0.99999940256876807</v>
      </c>
      <c r="M32" s="1">
        <f t="shared" si="11"/>
        <v>0.9999996757728381</v>
      </c>
      <c r="N32" s="1">
        <f t="shared" si="11"/>
        <v>0.99999982072004734</v>
      </c>
      <c r="O32" s="1">
        <f t="shared" si="11"/>
        <v>0.99999989912288278</v>
      </c>
      <c r="P32" s="1">
        <f t="shared" si="11"/>
        <v>0.99999994230430511</v>
      </c>
      <c r="Q32" s="1">
        <f t="shared" si="11"/>
        <v>0.99999996649250233</v>
      </c>
      <c r="R32" s="1">
        <f t="shared" si="11"/>
        <v>0.99999998025816283</v>
      </c>
      <c r="S32" s="1">
        <f t="shared" si="11"/>
        <v>0.99999998820995517</v>
      </c>
      <c r="T32" s="1">
        <f t="shared" si="11"/>
        <v>0.99999999286830099</v>
      </c>
      <c r="U32" s="1">
        <f t="shared" si="11"/>
        <v>0.99999999563367659</v>
      </c>
      <c r="V32" s="1">
        <f t="shared" si="11"/>
        <v>0.99999999729601019</v>
      </c>
      <c r="W32" s="1">
        <f t="shared" si="11"/>
        <v>0.99999999830720709</v>
      </c>
      <c r="X32" s="1">
        <f t="shared" si="11"/>
        <v>0.99999999892928038</v>
      </c>
      <c r="Y32" s="1">
        <f>1-_xlfn.LOGNORM.DIST(495,Y27,Y28,TRUE)</f>
        <v>0.99999999931608463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Maryland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Reuel Calvin Smith</dc:creator>
  <cp:lastModifiedBy>Reuel Calvin Smith</cp:lastModifiedBy>
  <dcterms:created xsi:type="dcterms:W3CDTF">2026-02-12T16:19:32Z</dcterms:created>
  <dcterms:modified xsi:type="dcterms:W3CDTF">2026-02-13T16:14:14Z</dcterms:modified>
</cp:coreProperties>
</file>